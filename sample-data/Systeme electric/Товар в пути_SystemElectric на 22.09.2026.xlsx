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DSheet" state="visible" r:id="rId4"/>
    <sheet sheetId="2" name="Лист1" state="visible" r:id="rId5"/>
  </sheets>
  <calcPr calcId="171027"/>
</workbook>
</file>

<file path=xl/sharedStrings.xml><?xml version="1.0" encoding="utf-8"?>
<sst xmlns="http://schemas.openxmlformats.org/spreadsheetml/2006/main" count="190" uniqueCount="164">
  <si>
    <t>СКЛАДЫ</t>
  </si>
  <si>
    <t>№</t>
  </si>
  <si>
    <t>Артикул поставщика</t>
  </si>
  <si>
    <t>Код 1с</t>
  </si>
  <si>
    <t>Наименование</t>
  </si>
  <si>
    <t>Категория 2026</t>
  </si>
  <si>
    <t>СС реал</t>
  </si>
  <si>
    <t>Январь 2024 г.</t>
  </si>
  <si>
    <t>Февраль 2024 г.</t>
  </si>
  <si>
    <t>Март 2024 г.</t>
  </si>
  <si>
    <t>Апрель 2024 г.</t>
  </si>
  <si>
    <t>Май 2024 г.</t>
  </si>
  <si>
    <t>Июнь 2024 г.</t>
  </si>
  <si>
    <t>Июль 2024 г.</t>
  </si>
  <si>
    <t>Август 2024 г.</t>
  </si>
  <si>
    <t>Сентябрь 2024 г.</t>
  </si>
  <si>
    <t>Октябрь 2024 г.</t>
  </si>
  <si>
    <t>Ноябрь 2024 г.</t>
  </si>
  <si>
    <t>Декабрь 2024 г.</t>
  </si>
  <si>
    <t>Продажи 2024</t>
  </si>
  <si>
    <t>Ср мес 2024</t>
  </si>
  <si>
    <t>Январь 2025 г.</t>
  </si>
  <si>
    <t>Февраль 2025 г.</t>
  </si>
  <si>
    <t>Март 2025 г.</t>
  </si>
  <si>
    <t>Апрель 2025 г.</t>
  </si>
  <si>
    <t>Май 2025 г.</t>
  </si>
  <si>
    <t>Июнь 2025 г.</t>
  </si>
  <si>
    <t>Июль 2025 г.</t>
  </si>
  <si>
    <t>Август 2025 г.</t>
  </si>
  <si>
    <t>Сентябрь 2025 г.</t>
  </si>
  <si>
    <t>Октябрь 2025 г.</t>
  </si>
  <si>
    <t>Ноябрь 2025 г.</t>
  </si>
  <si>
    <t>Декабрь 2025 г.</t>
  </si>
  <si>
    <t>Январь 2026 г.</t>
  </si>
  <si>
    <t>Февраль 2026 г.</t>
  </si>
  <si>
    <t>Март 2026 г.</t>
  </si>
  <si>
    <t>Апрель 2026 г.</t>
  </si>
  <si>
    <t>Май 2026 г.</t>
  </si>
  <si>
    <t>Июнь 2026 г.</t>
  </si>
  <si>
    <t>Июль 2026 г.</t>
  </si>
  <si>
    <t>Август 2026 г.</t>
  </si>
  <si>
    <t>Сентябрь 2026 г.</t>
  </si>
  <si>
    <t>Сумма последние 12 мес</t>
  </si>
  <si>
    <t xml:space="preserve">   Ср мес за последние 12 мес</t>
  </si>
  <si>
    <t>Кэф. Роста</t>
  </si>
  <si>
    <t>Кэф. Сез-ти</t>
  </si>
  <si>
    <t>Витрина</t>
  </si>
  <si>
    <t>Остаток ТЗ</t>
  </si>
  <si>
    <t>РЦ ЕКТ  Рыскулова</t>
  </si>
  <si>
    <t>Розничный склад</t>
  </si>
  <si>
    <t>Остаток</t>
  </si>
  <si>
    <t>Зарезервировано</t>
  </si>
  <si>
    <t>Свободный остаток</t>
  </si>
  <si>
    <t>Запас</t>
  </si>
  <si>
    <t>Заказ</t>
  </si>
  <si>
    <t>СЭ в пути 24.09</t>
  </si>
  <si>
    <t>SYN-SE-0001</t>
  </si>
  <si>
    <t>00DEMO-SE-001_</t>
  </si>
  <si>
    <t>[СИНТЕТИКА] Сезонный прожектор Север</t>
  </si>
  <si>
    <t>1</t>
  </si>
  <si>
    <t>SYN-SE-0002</t>
  </si>
  <si>
    <t>00DEMO-SE-002_</t>
  </si>
  <si>
    <t>[СИНТЕТИКА] Растущая серия выключателей Вега</t>
  </si>
  <si>
    <t>2</t>
  </si>
  <si>
    <t>SYN-SE-0003</t>
  </si>
  <si>
    <t>00DEMO-SE-003_</t>
  </si>
  <si>
    <t>[СИНТЕТИКА] Розетка Орион — дефицит</t>
  </si>
  <si>
    <t>3</t>
  </si>
  <si>
    <t>SYN-SE-0004</t>
  </si>
  <si>
    <t>00DEMO-SE-004_</t>
  </si>
  <si>
    <t>[СИНТЕТИКА] Автомат Полюс — подтверждённый дефицит</t>
  </si>
  <si>
    <t>5</t>
  </si>
  <si>
    <t>SYN-SE-0005</t>
  </si>
  <si>
    <t>00DEMO-SE-005_</t>
  </si>
  <si>
    <t>[СИНТЕТИКА] Контактор Искра — разовый проект</t>
  </si>
  <si>
    <t>7</t>
  </si>
  <si>
    <t>SYN-SE-0006</t>
  </si>
  <si>
    <t>00DEMO-SE-006_</t>
  </si>
  <si>
    <t>[СИНТЕТИКА] Модуль Лира — разделённый проект</t>
  </si>
  <si>
    <t>SYN-SE-0007</t>
  </si>
  <si>
    <t>00DEMO-SE-007_</t>
  </si>
  <si>
    <t>[СИНТЕТИКА] Кабель Полярис 305м ЗАКУПАЮТСЯ БУХТАМИ, САДЯТСЯ МЕТРАЖОМ</t>
  </si>
  <si>
    <t>SYN-SE-0008</t>
  </si>
  <si>
    <t>00DEMO-SE-008_</t>
  </si>
  <si>
    <t>[СИНТЕТИКА] Рамка Янтарь — малая потребность</t>
  </si>
  <si>
    <t>SYN-SE-0009</t>
  </si>
  <si>
    <t>00DEMO-SE-009_</t>
  </si>
  <si>
    <t>[СИНТЕТИКА] Реле Луна — запас и ранний приход</t>
  </si>
  <si>
    <t>SYN-SE-0010</t>
  </si>
  <si>
    <t>00DEMO-SE-010_</t>
  </si>
  <si>
    <t>[СИНТЕТИКА] Датчик Зенит — поздний приход</t>
  </si>
  <si>
    <t>SYN-SE-0011</t>
  </si>
  <si>
    <t>00DEMO-SE-011_</t>
  </si>
  <si>
    <t>[СИНТЕТИКА] Щит Парус — возвраты</t>
  </si>
  <si>
    <t>SYN-SE-0012</t>
  </si>
  <si>
    <t>00DEMO-SE-012_</t>
  </si>
  <si>
    <t>[СИНТЕТИКА] Светильник Комета — редкие продажи</t>
  </si>
  <si>
    <t>SYN-SE-0013</t>
  </si>
  <si>
    <t>00DEMO-SE-013_</t>
  </si>
  <si>
    <t>[СИНТЕТИКА] Механизм Созвездие 13</t>
  </si>
  <si>
    <t>SYN-SE-0014</t>
  </si>
  <si>
    <t>00DEMO-SE-014_</t>
  </si>
  <si>
    <t>[СИНТЕТИКА] Механизм Созвездие 14</t>
  </si>
  <si>
    <t>SYN-SE-0015</t>
  </si>
  <si>
    <t>00DEMO-SE-015_</t>
  </si>
  <si>
    <t>[СИНТЕТИКА] Механизм Созвездие 15</t>
  </si>
  <si>
    <t>SYN-SE-0016</t>
  </si>
  <si>
    <t>00DEMO-SE-016_</t>
  </si>
  <si>
    <t>[СИНТЕТИКА] Механизм Созвездие 16</t>
  </si>
  <si>
    <t>SYN-SE-0017</t>
  </si>
  <si>
    <t>00DEMO-SE-017_</t>
  </si>
  <si>
    <t>[СИНТЕТИКА] Механизм Созвездие 17</t>
  </si>
  <si>
    <t>SYN-SE-0018</t>
  </si>
  <si>
    <t>00DEMO-SE-018_</t>
  </si>
  <si>
    <t>[СИНТЕТИКА] Механизм Созвездие 18</t>
  </si>
  <si>
    <t>SYN-SE-0019</t>
  </si>
  <si>
    <t>00DEMO-SE-019_</t>
  </si>
  <si>
    <t>[СИНТЕТИКА] Механизм Созвездие 19</t>
  </si>
  <si>
    <t>SYN-SE-0020</t>
  </si>
  <si>
    <t>00DEMO-SE-020_</t>
  </si>
  <si>
    <t>[СИНТЕТИКА] Механизм Созвездие 20</t>
  </si>
  <si>
    <t>SYN-SE-0021</t>
  </si>
  <si>
    <t>00DEMO-SE-021_</t>
  </si>
  <si>
    <t>[СИНТЕТИКА] Механизм Созвездие 21</t>
  </si>
  <si>
    <t>SYN-SE-0022</t>
  </si>
  <si>
    <t>00DEMO-SE-022_</t>
  </si>
  <si>
    <t>[СИНТЕТИКА] Механизм Созвездие 22</t>
  </si>
  <si>
    <t>SYN-SE-0023</t>
  </si>
  <si>
    <t>00DEMO-SE-023_</t>
  </si>
  <si>
    <t>[СИНТЕТИКА] Механизм Созвездие 23</t>
  </si>
  <si>
    <t>SYN-SE-0024</t>
  </si>
  <si>
    <t>00DEMO-SE-024_</t>
  </si>
  <si>
    <t>[СИНТЕТИКА] Механизм Созвездие 24</t>
  </si>
  <si>
    <t>год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</si>
  <si>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</si>
  <si>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</si>
  <si>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</si>
  <si>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</si>
  <si>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</si>
  <si>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</si>
  <si>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</si>
  <si>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</si>
  <si>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</si>
  <si>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</si>
  <si>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</si>
  <si>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</si>
  <si>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ИТОГО</t>
  </si>
  <si>
    <t>Сезонность по годам</t>
  </si>
  <si>
    <t>Месяц</t>
  </si>
  <si>
    <t>Коэф. сезонности</t>
  </si>
  <si>
    <t>Доля в году</t>
  </si>
  <si>
    <t>Продажи 2025</t>
  </si>
  <si>
    <t>Коэф. сезонности 2025</t>
  </si>
  <si>
    <t>Доля в году 2025</t>
  </si>
  <si>
    <t>Продажи 2026</t>
  </si>
  <si>
    <t>Коэф. сезонности 2026</t>
  </si>
  <si>
    <t>Доля в году 2026</t>
  </si>
  <si>
    <t>СЕЗОННОСТЬ</t>
  </si>
  <si>
    <t>февр</t>
  </si>
  <si>
    <t>март</t>
  </si>
  <si>
    <t>июнь</t>
  </si>
  <si>
    <t>июль</t>
  </si>
  <si>
    <t>сент</t>
  </si>
  <si>
    <t>нояб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</si>
</sst>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sheetData>
    <row r="1" spans="46:46" x14ac:dyDescent="0.25">
      <c r="AT1" t="s">
        <v>0</v>
      </c>
    </row>
    <row r="2" spans="1:55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</row>
    <row r="3" spans="1:55" x14ac:dyDescent="0.25">
      <c r="A3">
        <v>1</v>
      </c>
      <c r="B3" t="s">
        <v>56</v>
      </c>
      <c r="C3" t="s">
        <v>57</v>
      </c>
      <c r="D3" t="s">
        <v>58</v>
      </c>
      <c r="E3" t="s">
        <v>59</v>
      </c>
      <c r="F3">
        <v>1462.69</v>
      </c>
      <c r="G3">
        <v>58</v>
      </c>
      <c r="H3">
        <v>65</v>
      </c>
      <c r="I3">
        <v>105</v>
      </c>
      <c r="J3">
        <v>146</v>
      </c>
      <c r="K3">
        <v>179</v>
      </c>
      <c r="L3">
        <v>205</v>
      </c>
      <c r="M3">
        <v>262</v>
      </c>
      <c r="N3">
        <v>291</v>
      </c>
      <c r="O3">
        <v>227</v>
      </c>
      <c r="P3">
        <v>181</v>
      </c>
      <c r="Q3">
        <v>144</v>
      </c>
      <c r="R3">
        <v>112</v>
      </c>
      <c r="S3">
        <v>1975</v>
      </c>
      <c r="T3">
        <v>164.58333333333334</v>
      </c>
      <c r="U3">
        <v>62</v>
      </c>
      <c r="V3">
        <v>65</v>
      </c>
      <c r="W3">
        <v>108</v>
      </c>
      <c r="X3">
        <v>139</v>
      </c>
      <c r="Y3">
        <v>176</v>
      </c>
      <c r="Z3">
        <v>216</v>
      </c>
      <c r="AA3">
        <v>296</v>
      </c>
      <c r="AB3">
        <v>317</v>
      </c>
      <c r="AC3">
        <v>253</v>
      </c>
      <c r="AD3">
        <v>185</v>
      </c>
      <c r="AE3">
        <v>136</v>
      </c>
      <c r="AF3">
        <v>105</v>
      </c>
      <c r="AG3">
        <v>65</v>
      </c>
      <c r="AH3">
        <v>71</v>
      </c>
      <c r="AI3">
        <v>106</v>
      </c>
      <c r="AJ3">
        <v>164</v>
      </c>
      <c r="AK3">
        <v>181</v>
      </c>
      <c r="AL3">
        <v>224</v>
      </c>
      <c r="AM3">
        <v>274</v>
      </c>
      <c r="AN3">
        <v>344</v>
      </c>
      <c r="AO3">
        <v>177</v>
      </c>
      <c r="AP3">
        <v>2285</v>
      </c>
      <c r="AQ3">
        <v>190.41666666666666</v>
      </c>
      <c r="AR3">
        <v>0.04</v>
      </c>
      <c r="AS3">
        <v>0.27</v>
      </c>
      <c r="AT3">
        <v>0</v>
      </c>
      <c r="AU3">
        <v>0</v>
      </c>
      <c r="AV3">
        <v>0</v>
      </c>
      <c r="AW3">
        <v>0</v>
      </c>
      <c r="AX3">
        <v>25</v>
      </c>
      <c r="AY3">
        <v>0</v>
      </c>
      <c r="AZ3">
        <f>AX3-AY3</f>
        <v>25</v>
      </c>
      <c r="BA3">
        <v>0</v>
      </c>
      <c r="BC3">
        <v>0</v>
      </c>
    </row>
    <row r="4" spans="1:55" x14ac:dyDescent="0.25">
      <c r="A4">
        <v>2</v>
      </c>
      <c r="B4" t="s">
        <v>60</v>
      </c>
      <c r="C4" t="s">
        <v>61</v>
      </c>
      <c r="D4" t="s">
        <v>62</v>
      </c>
      <c r="E4" t="s">
        <v>63</v>
      </c>
      <c r="F4">
        <v>1609.1</v>
      </c>
      <c r="G4">
        <v>73</v>
      </c>
      <c r="H4">
        <v>76</v>
      </c>
      <c r="I4">
        <v>102</v>
      </c>
      <c r="J4">
        <v>119</v>
      </c>
      <c r="K4">
        <v>141</v>
      </c>
      <c r="L4">
        <v>161</v>
      </c>
      <c r="M4">
        <v>200</v>
      </c>
      <c r="N4">
        <v>210</v>
      </c>
      <c r="O4">
        <v>179</v>
      </c>
      <c r="P4">
        <v>153</v>
      </c>
      <c r="Q4">
        <v>135</v>
      </c>
      <c r="R4">
        <v>106</v>
      </c>
      <c r="S4">
        <v>1655</v>
      </c>
      <c r="T4">
        <v>137.91666666666666</v>
      </c>
      <c r="U4">
        <v>82</v>
      </c>
      <c r="V4">
        <v>80</v>
      </c>
      <c r="W4">
        <v>109</v>
      </c>
      <c r="X4">
        <v>134</v>
      </c>
      <c r="Y4">
        <v>165</v>
      </c>
      <c r="Z4">
        <v>177</v>
      </c>
      <c r="AA4">
        <v>207</v>
      </c>
      <c r="AB4">
        <v>236</v>
      </c>
      <c r="AC4">
        <v>205</v>
      </c>
      <c r="AD4">
        <v>166</v>
      </c>
      <c r="AE4">
        <v>150</v>
      </c>
      <c r="AF4">
        <v>118</v>
      </c>
      <c r="AG4">
        <v>137</v>
      </c>
      <c r="AH4">
        <v>138</v>
      </c>
      <c r="AI4">
        <v>183</v>
      </c>
      <c r="AJ4">
        <v>225</v>
      </c>
      <c r="AK4">
        <v>278</v>
      </c>
      <c r="AL4">
        <v>299</v>
      </c>
      <c r="AM4">
        <v>369</v>
      </c>
      <c r="AN4">
        <v>401</v>
      </c>
      <c r="AO4">
        <v>257</v>
      </c>
      <c r="AP4">
        <v>2926</v>
      </c>
      <c r="AQ4">
        <v>243.83333333333334</v>
      </c>
      <c r="AR4">
        <v>0.3</v>
      </c>
      <c r="AS4">
        <v>0.27</v>
      </c>
      <c r="AT4">
        <v>0</v>
      </c>
      <c r="AU4">
        <v>0</v>
      </c>
      <c r="AV4">
        <v>0</v>
      </c>
      <c r="AW4">
        <v>0</v>
      </c>
      <c r="AX4">
        <v>29</v>
      </c>
      <c r="AY4">
        <v>0</v>
      </c>
      <c r="AZ4">
        <f>AX4-AY4</f>
        <v>29</v>
      </c>
      <c r="BA4">
        <v>0</v>
      </c>
      <c r="BC4">
        <v>0</v>
      </c>
    </row>
    <row r="5" spans="1:55" x14ac:dyDescent="0.25">
      <c r="A5">
        <v>3</v>
      </c>
      <c r="B5" t="s">
        <v>64</v>
      </c>
      <c r="C5" t="s">
        <v>65</v>
      </c>
      <c r="D5" t="s">
        <v>66</v>
      </c>
      <c r="E5" t="s">
        <v>67</v>
      </c>
      <c r="F5">
        <v>1415.71</v>
      </c>
      <c r="G5">
        <v>39</v>
      </c>
      <c r="H5">
        <v>39</v>
      </c>
      <c r="I5">
        <v>55</v>
      </c>
      <c r="J5">
        <v>65</v>
      </c>
      <c r="K5">
        <v>78</v>
      </c>
      <c r="L5">
        <v>83</v>
      </c>
      <c r="M5">
        <v>104</v>
      </c>
      <c r="N5">
        <v>99</v>
      </c>
      <c r="O5">
        <v>87</v>
      </c>
      <c r="P5">
        <v>75</v>
      </c>
      <c r="Q5">
        <v>65</v>
      </c>
      <c r="R5">
        <v>53</v>
      </c>
      <c r="S5">
        <v>842</v>
      </c>
      <c r="T5">
        <v>70.16666666666667</v>
      </c>
      <c r="U5">
        <v>40</v>
      </c>
      <c r="V5">
        <v>42</v>
      </c>
      <c r="W5">
        <v>52</v>
      </c>
      <c r="X5">
        <v>66</v>
      </c>
      <c r="Y5">
        <v>76</v>
      </c>
      <c r="Z5">
        <v>86</v>
      </c>
      <c r="AA5">
        <v>108</v>
      </c>
      <c r="AB5">
        <v>105</v>
      </c>
      <c r="AC5">
        <v>89</v>
      </c>
      <c r="AD5">
        <v>74</v>
      </c>
      <c r="AE5">
        <v>70</v>
      </c>
      <c r="AF5">
        <v>56</v>
      </c>
      <c r="AG5">
        <v>39</v>
      </c>
      <c r="AH5">
        <v>43</v>
      </c>
      <c r="AI5">
        <v>54</v>
      </c>
      <c r="AJ5">
        <v>11</v>
      </c>
      <c r="AK5">
        <v>11</v>
      </c>
      <c r="AL5">
        <v>91</v>
      </c>
      <c r="AM5">
        <v>103</v>
      </c>
      <c r="AN5">
        <v>105</v>
      </c>
      <c r="AO5">
        <v>68</v>
      </c>
      <c r="AP5">
        <v>814</v>
      </c>
      <c r="AQ5">
        <v>67.83333333333333</v>
      </c>
      <c r="AR5">
        <v>0.04</v>
      </c>
      <c r="AS5">
        <v>0.27</v>
      </c>
      <c r="AT5">
        <v>0</v>
      </c>
      <c r="AU5">
        <v>0</v>
      </c>
      <c r="AV5">
        <v>0</v>
      </c>
      <c r="AW5">
        <v>0</v>
      </c>
      <c r="AX5">
        <v>33</v>
      </c>
      <c r="AY5">
        <v>20</v>
      </c>
      <c r="AZ5">
        <f>AX5-AY5</f>
        <v>13</v>
      </c>
      <c r="BA5">
        <v>0</v>
      </c>
      <c r="BC5">
        <v>70</v>
      </c>
    </row>
    <row r="6" spans="1:55" x14ac:dyDescent="0.25">
      <c r="A6">
        <v>4</v>
      </c>
      <c r="B6" t="s">
        <v>68</v>
      </c>
      <c r="C6" t="s">
        <v>69</v>
      </c>
      <c r="D6" t="s">
        <v>70</v>
      </c>
      <c r="E6" t="s">
        <v>71</v>
      </c>
      <c r="F6">
        <v>354.26</v>
      </c>
      <c r="G6">
        <v>74</v>
      </c>
      <c r="H6">
        <v>84</v>
      </c>
      <c r="I6">
        <v>106</v>
      </c>
      <c r="J6">
        <v>134</v>
      </c>
      <c r="K6">
        <v>148</v>
      </c>
      <c r="L6">
        <v>185</v>
      </c>
      <c r="M6">
        <v>211</v>
      </c>
      <c r="N6">
        <v>207</v>
      </c>
      <c r="O6">
        <v>177</v>
      </c>
      <c r="P6">
        <v>145</v>
      </c>
      <c r="Q6">
        <v>126</v>
      </c>
      <c r="R6">
        <v>114</v>
      </c>
      <c r="S6">
        <v>1711</v>
      </c>
      <c r="T6">
        <v>142.58333333333334</v>
      </c>
      <c r="U6">
        <v>81</v>
      </c>
      <c r="V6">
        <v>82</v>
      </c>
      <c r="W6">
        <v>110</v>
      </c>
      <c r="X6">
        <v>130</v>
      </c>
      <c r="Y6">
        <v>161</v>
      </c>
      <c r="Z6">
        <v>183</v>
      </c>
      <c r="AA6">
        <v>195</v>
      </c>
      <c r="AB6">
        <v>224</v>
      </c>
      <c r="AC6">
        <v>180</v>
      </c>
      <c r="AD6">
        <v>167</v>
      </c>
      <c r="AE6">
        <v>126</v>
      </c>
      <c r="AF6">
        <v>122</v>
      </c>
      <c r="AG6">
        <v>80</v>
      </c>
      <c r="AH6">
        <v>84</v>
      </c>
      <c r="AI6">
        <v>118</v>
      </c>
      <c r="AJ6">
        <v>23</v>
      </c>
      <c r="AK6">
        <v>26</v>
      </c>
      <c r="AL6">
        <v>175</v>
      </c>
      <c r="AM6">
        <v>227</v>
      </c>
      <c r="AN6">
        <v>234</v>
      </c>
      <c r="AO6">
        <v>136</v>
      </c>
      <c r="AP6">
        <v>1698</v>
      </c>
      <c r="AQ6">
        <v>141.5</v>
      </c>
      <c r="AR6">
        <v>0.04</v>
      </c>
      <c r="AS6">
        <v>0.27</v>
      </c>
      <c r="AT6">
        <v>0</v>
      </c>
      <c r="AU6">
        <v>0</v>
      </c>
      <c r="AV6">
        <v>0</v>
      </c>
      <c r="AW6">
        <v>0</v>
      </c>
      <c r="AX6">
        <v>37</v>
      </c>
      <c r="AY6">
        <v>0</v>
      </c>
      <c r="AZ6">
        <f>AX6-AY6</f>
        <v>37</v>
      </c>
      <c r="BA6">
        <v>0</v>
      </c>
      <c r="BC6">
        <v>0</v>
      </c>
    </row>
    <row r="7" spans="1:55" x14ac:dyDescent="0.25">
      <c r="A7">
        <v>5</v>
      </c>
      <c r="B7" t="s">
        <v>72</v>
      </c>
      <c r="C7" t="s">
        <v>73</v>
      </c>
      <c r="D7" t="s">
        <v>74</v>
      </c>
      <c r="E7" t="s">
        <v>75</v>
      </c>
      <c r="F7">
        <v>285.83</v>
      </c>
      <c r="G7">
        <v>122</v>
      </c>
      <c r="H7">
        <v>131</v>
      </c>
      <c r="I7">
        <v>184</v>
      </c>
      <c r="J7">
        <v>241</v>
      </c>
      <c r="K7">
        <v>246</v>
      </c>
      <c r="L7">
        <v>303</v>
      </c>
      <c r="M7">
        <v>339</v>
      </c>
      <c r="N7">
        <v>371</v>
      </c>
      <c r="O7">
        <v>290</v>
      </c>
      <c r="P7">
        <v>245</v>
      </c>
      <c r="Q7">
        <v>225</v>
      </c>
      <c r="R7">
        <v>178</v>
      </c>
      <c r="S7">
        <v>2875</v>
      </c>
      <c r="T7">
        <v>239.58333333333334</v>
      </c>
      <c r="U7">
        <v>132</v>
      </c>
      <c r="V7">
        <v>137</v>
      </c>
      <c r="W7">
        <v>200</v>
      </c>
      <c r="X7">
        <v>225</v>
      </c>
      <c r="Y7">
        <v>267</v>
      </c>
      <c r="Z7">
        <v>284</v>
      </c>
      <c r="AA7">
        <v>374</v>
      </c>
      <c r="AB7">
        <v>368</v>
      </c>
      <c r="AC7">
        <v>323</v>
      </c>
      <c r="AD7">
        <v>258</v>
      </c>
      <c r="AE7">
        <v>222</v>
      </c>
      <c r="AF7">
        <v>205</v>
      </c>
      <c r="AG7">
        <v>141</v>
      </c>
      <c r="AH7">
        <v>12042</v>
      </c>
      <c r="AI7">
        <v>203</v>
      </c>
      <c r="AJ7">
        <v>252</v>
      </c>
      <c r="AK7">
        <v>267</v>
      </c>
      <c r="AL7">
        <v>330</v>
      </c>
      <c r="AM7">
        <v>349</v>
      </c>
      <c r="AN7">
        <v>394</v>
      </c>
      <c r="AO7">
        <v>257</v>
      </c>
      <c r="AP7">
        <v>15243</v>
      </c>
      <c r="AQ7">
        <v>1270.25</v>
      </c>
      <c r="AR7">
        <v>0.04</v>
      </c>
      <c r="AS7">
        <v>0.27</v>
      </c>
      <c r="AT7">
        <v>0</v>
      </c>
      <c r="AU7">
        <v>0</v>
      </c>
      <c r="AV7">
        <v>0</v>
      </c>
      <c r="AW7">
        <v>0</v>
      </c>
      <c r="AX7">
        <v>41</v>
      </c>
      <c r="AY7">
        <v>0</v>
      </c>
      <c r="AZ7">
        <f>AX7-AY7</f>
        <v>41</v>
      </c>
      <c r="BA7">
        <v>0</v>
      </c>
      <c r="BC7">
        <v>0</v>
      </c>
    </row>
    <row r="8" spans="1:55" x14ac:dyDescent="0.25">
      <c r="A8">
        <v>6</v>
      </c>
      <c r="B8" t="s">
        <v>76</v>
      </c>
      <c r="C8" t="s">
        <v>77</v>
      </c>
      <c r="D8" t="s">
        <v>78</v>
      </c>
      <c r="E8" t="s">
        <v>59</v>
      </c>
      <c r="F8">
        <v>2514.84</v>
      </c>
      <c r="G8">
        <v>144</v>
      </c>
      <c r="H8">
        <v>152</v>
      </c>
      <c r="I8">
        <v>206</v>
      </c>
      <c r="J8">
        <v>241</v>
      </c>
      <c r="K8">
        <v>283</v>
      </c>
      <c r="L8">
        <v>346</v>
      </c>
      <c r="M8">
        <v>387</v>
      </c>
      <c r="N8">
        <v>430</v>
      </c>
      <c r="O8">
        <v>370</v>
      </c>
      <c r="P8">
        <v>286</v>
      </c>
      <c r="Q8">
        <v>262</v>
      </c>
      <c r="R8">
        <v>222</v>
      </c>
      <c r="S8">
        <v>3329</v>
      </c>
      <c r="T8">
        <v>277.4166666666667</v>
      </c>
      <c r="U8">
        <v>148</v>
      </c>
      <c r="V8">
        <v>172</v>
      </c>
      <c r="W8">
        <v>207</v>
      </c>
      <c r="X8">
        <v>281</v>
      </c>
      <c r="Y8">
        <v>298</v>
      </c>
      <c r="Z8">
        <v>343</v>
      </c>
      <c r="AA8">
        <v>372</v>
      </c>
      <c r="AB8">
        <v>428</v>
      </c>
      <c r="AC8">
        <v>381</v>
      </c>
      <c r="AD8">
        <v>287</v>
      </c>
      <c r="AE8">
        <v>276</v>
      </c>
      <c r="AF8">
        <v>233</v>
      </c>
      <c r="AG8">
        <v>152</v>
      </c>
      <c r="AH8">
        <v>175</v>
      </c>
      <c r="AI8">
        <v>13673</v>
      </c>
      <c r="AJ8">
        <v>266</v>
      </c>
      <c r="AK8">
        <v>316</v>
      </c>
      <c r="AL8">
        <v>379</v>
      </c>
      <c r="AM8">
        <v>432</v>
      </c>
      <c r="AN8">
        <v>432</v>
      </c>
      <c r="AO8">
        <v>264</v>
      </c>
      <c r="AP8">
        <v>17266</v>
      </c>
      <c r="AQ8">
        <v>1438.8333333333333</v>
      </c>
      <c r="AR8">
        <v>0.04</v>
      </c>
      <c r="AS8">
        <v>0.27</v>
      </c>
      <c r="AT8">
        <v>0</v>
      </c>
      <c r="AU8">
        <v>0</v>
      </c>
      <c r="AV8">
        <v>0</v>
      </c>
      <c r="AW8">
        <v>0</v>
      </c>
      <c r="AX8">
        <v>45</v>
      </c>
      <c r="AY8">
        <v>0</v>
      </c>
      <c r="AZ8">
        <f>AX8-AY8</f>
        <v>45</v>
      </c>
      <c r="BA8">
        <v>0</v>
      </c>
      <c r="BC8">
        <v>0</v>
      </c>
    </row>
    <row r="9" spans="1:55" x14ac:dyDescent="0.25">
      <c r="A9">
        <v>7</v>
      </c>
      <c r="B9" t="s">
        <v>79</v>
      </c>
      <c r="C9" t="s">
        <v>80</v>
      </c>
      <c r="D9" t="s">
        <v>81</v>
      </c>
      <c r="E9" t="s">
        <v>63</v>
      </c>
      <c r="F9">
        <v>929.46</v>
      </c>
      <c r="G9">
        <v>408</v>
      </c>
      <c r="H9">
        <v>423</v>
      </c>
      <c r="I9">
        <v>551</v>
      </c>
      <c r="J9">
        <v>672</v>
      </c>
      <c r="K9">
        <v>815</v>
      </c>
      <c r="L9">
        <v>908</v>
      </c>
      <c r="M9">
        <v>1016</v>
      </c>
      <c r="N9">
        <v>1106</v>
      </c>
      <c r="O9">
        <v>934</v>
      </c>
      <c r="P9">
        <v>794</v>
      </c>
      <c r="Q9">
        <v>693</v>
      </c>
      <c r="R9">
        <v>547</v>
      </c>
      <c r="S9">
        <v>8867</v>
      </c>
      <c r="T9">
        <v>738.9166666666666</v>
      </c>
      <c r="U9">
        <v>399</v>
      </c>
      <c r="V9">
        <v>410</v>
      </c>
      <c r="W9">
        <v>583</v>
      </c>
      <c r="X9">
        <v>697</v>
      </c>
      <c r="Y9">
        <v>824</v>
      </c>
      <c r="Z9">
        <v>968</v>
      </c>
      <c r="AA9">
        <v>1001</v>
      </c>
      <c r="AB9">
        <v>1141</v>
      </c>
      <c r="AC9">
        <v>955</v>
      </c>
      <c r="AD9">
        <v>848</v>
      </c>
      <c r="AE9">
        <v>718</v>
      </c>
      <c r="AF9">
        <v>564</v>
      </c>
      <c r="AG9">
        <v>449</v>
      </c>
      <c r="AH9">
        <v>432</v>
      </c>
      <c r="AI9">
        <v>592</v>
      </c>
      <c r="AJ9">
        <v>736</v>
      </c>
      <c r="AK9">
        <v>812</v>
      </c>
      <c r="AL9">
        <v>964</v>
      </c>
      <c r="AM9">
        <v>1032</v>
      </c>
      <c r="AN9">
        <v>1160</v>
      </c>
      <c r="AO9">
        <v>773</v>
      </c>
      <c r="AP9">
        <v>10035</v>
      </c>
      <c r="AQ9">
        <v>836.25</v>
      </c>
      <c r="AR9">
        <v>0.04</v>
      </c>
      <c r="AS9">
        <v>0.27</v>
      </c>
      <c r="AT9">
        <v>0</v>
      </c>
      <c r="AU9">
        <v>0</v>
      </c>
      <c r="AV9">
        <v>0</v>
      </c>
      <c r="AW9">
        <v>0</v>
      </c>
      <c r="AX9">
        <v>49</v>
      </c>
      <c r="AY9">
        <v>0</v>
      </c>
      <c r="AZ9">
        <f>AX9-AY9</f>
        <v>49</v>
      </c>
      <c r="BA9">
        <v>0</v>
      </c>
      <c r="BC9">
        <v>0</v>
      </c>
    </row>
    <row r="10" spans="1:55" x14ac:dyDescent="0.25">
      <c r="A10">
        <v>8</v>
      </c>
      <c r="B10" t="s">
        <v>82</v>
      </c>
      <c r="C10" t="s">
        <v>83</v>
      </c>
      <c r="D10" t="s">
        <v>84</v>
      </c>
      <c r="E10" t="s">
        <v>67</v>
      </c>
      <c r="F10">
        <v>908.8</v>
      </c>
      <c r="G10">
        <v>4</v>
      </c>
      <c r="H10">
        <v>4</v>
      </c>
      <c r="I10">
        <v>6</v>
      </c>
      <c r="J10">
        <v>6</v>
      </c>
      <c r="K10">
        <v>8</v>
      </c>
      <c r="L10">
        <v>8</v>
      </c>
      <c r="M10">
        <v>10</v>
      </c>
      <c r="N10">
        <v>11</v>
      </c>
      <c r="O10">
        <v>10</v>
      </c>
      <c r="P10">
        <v>8</v>
      </c>
      <c r="Q10">
        <v>6</v>
      </c>
      <c r="R10">
        <v>5</v>
      </c>
      <c r="S10">
        <v>86</v>
      </c>
      <c r="T10">
        <v>7.166666666666667</v>
      </c>
      <c r="U10">
        <v>4</v>
      </c>
      <c r="V10">
        <v>4</v>
      </c>
      <c r="W10">
        <v>6</v>
      </c>
      <c r="X10">
        <v>7</v>
      </c>
      <c r="Y10">
        <v>8</v>
      </c>
      <c r="Z10">
        <v>9</v>
      </c>
      <c r="AA10">
        <v>10</v>
      </c>
      <c r="AB10">
        <v>11</v>
      </c>
      <c r="AC10">
        <v>9</v>
      </c>
      <c r="AD10">
        <v>8</v>
      </c>
      <c r="AE10">
        <v>6</v>
      </c>
      <c r="AF10">
        <v>6</v>
      </c>
      <c r="AG10">
        <v>4</v>
      </c>
      <c r="AH10">
        <v>4</v>
      </c>
      <c r="AI10">
        <v>6</v>
      </c>
      <c r="AJ10">
        <v>7</v>
      </c>
      <c r="AK10">
        <v>8</v>
      </c>
      <c r="AL10">
        <v>9</v>
      </c>
      <c r="AM10">
        <v>10</v>
      </c>
      <c r="AN10">
        <v>12</v>
      </c>
      <c r="AO10">
        <v>7</v>
      </c>
      <c r="AP10">
        <v>96</v>
      </c>
      <c r="AQ10">
        <v>8</v>
      </c>
      <c r="AR10">
        <v>0.04</v>
      </c>
      <c r="AS10">
        <v>0.27</v>
      </c>
      <c r="AT10">
        <v>0</v>
      </c>
      <c r="AU10">
        <v>0</v>
      </c>
      <c r="AV10">
        <v>0</v>
      </c>
      <c r="AW10">
        <v>0</v>
      </c>
      <c r="AX10">
        <v>53</v>
      </c>
      <c r="AY10">
        <v>0</v>
      </c>
      <c r="AZ10">
        <f>AX10-AY10</f>
        <v>53</v>
      </c>
      <c r="BA10">
        <v>0</v>
      </c>
      <c r="BC10">
        <v>0</v>
      </c>
    </row>
    <row r="11" spans="1:55" x14ac:dyDescent="0.25">
      <c r="A11">
        <v>9</v>
      </c>
      <c r="B11" t="s">
        <v>85</v>
      </c>
      <c r="C11" t="s">
        <v>86</v>
      </c>
      <c r="D11" t="s">
        <v>87</v>
      </c>
      <c r="E11" t="s">
        <v>71</v>
      </c>
      <c r="F11">
        <v>1352.34</v>
      </c>
      <c r="G11">
        <v>131</v>
      </c>
      <c r="H11">
        <v>139</v>
      </c>
      <c r="I11">
        <v>194</v>
      </c>
      <c r="J11">
        <v>225</v>
      </c>
      <c r="K11">
        <v>252</v>
      </c>
      <c r="L11">
        <v>313</v>
      </c>
      <c r="M11">
        <v>330</v>
      </c>
      <c r="N11">
        <v>360</v>
      </c>
      <c r="O11">
        <v>319</v>
      </c>
      <c r="P11">
        <v>280</v>
      </c>
      <c r="Q11">
        <v>229</v>
      </c>
      <c r="R11">
        <v>195</v>
      </c>
      <c r="S11">
        <v>2967</v>
      </c>
      <c r="T11">
        <v>247.25</v>
      </c>
      <c r="U11">
        <v>137</v>
      </c>
      <c r="V11">
        <v>153</v>
      </c>
      <c r="W11">
        <v>207</v>
      </c>
      <c r="X11">
        <v>256</v>
      </c>
      <c r="Y11">
        <v>268</v>
      </c>
      <c r="Z11">
        <v>293</v>
      </c>
      <c r="AA11">
        <v>371</v>
      </c>
      <c r="AB11">
        <v>374</v>
      </c>
      <c r="AC11">
        <v>346</v>
      </c>
      <c r="AD11">
        <v>285</v>
      </c>
      <c r="AE11">
        <v>238</v>
      </c>
      <c r="AF11">
        <v>204</v>
      </c>
      <c r="AG11">
        <v>144</v>
      </c>
      <c r="AH11">
        <v>143</v>
      </c>
      <c r="AI11">
        <v>195</v>
      </c>
      <c r="AJ11">
        <v>266</v>
      </c>
      <c r="AK11">
        <v>305</v>
      </c>
      <c r="AL11">
        <v>324</v>
      </c>
      <c r="AM11">
        <v>386</v>
      </c>
      <c r="AN11">
        <v>390</v>
      </c>
      <c r="AO11">
        <v>264</v>
      </c>
      <c r="AP11">
        <v>3490</v>
      </c>
      <c r="AQ11">
        <v>290.8333333333333</v>
      </c>
      <c r="AR11">
        <v>0.04</v>
      </c>
      <c r="AS11">
        <v>0.27</v>
      </c>
      <c r="AT11">
        <v>0</v>
      </c>
      <c r="AU11">
        <v>0</v>
      </c>
      <c r="AV11">
        <v>0</v>
      </c>
      <c r="AW11">
        <v>0</v>
      </c>
      <c r="AX11">
        <v>1200</v>
      </c>
      <c r="AY11">
        <v>0</v>
      </c>
      <c r="AZ11">
        <f>AX11-AY11</f>
        <v>1200</v>
      </c>
      <c r="BA11">
        <v>0</v>
      </c>
      <c r="BC11">
        <v>600</v>
      </c>
    </row>
    <row r="12" spans="1:55" x14ac:dyDescent="0.25">
      <c r="A12">
        <v>10</v>
      </c>
      <c r="B12" t="s">
        <v>88</v>
      </c>
      <c r="C12" t="s">
        <v>89</v>
      </c>
      <c r="D12" t="s">
        <v>90</v>
      </c>
      <c r="E12" t="s">
        <v>75</v>
      </c>
      <c r="F12">
        <v>2139.34</v>
      </c>
      <c r="G12">
        <v>58</v>
      </c>
      <c r="H12">
        <v>61</v>
      </c>
      <c r="I12">
        <v>73</v>
      </c>
      <c r="J12">
        <v>93</v>
      </c>
      <c r="K12">
        <v>108</v>
      </c>
      <c r="L12">
        <v>129</v>
      </c>
      <c r="M12">
        <v>150</v>
      </c>
      <c r="N12">
        <v>160</v>
      </c>
      <c r="O12">
        <v>129</v>
      </c>
      <c r="P12">
        <v>114</v>
      </c>
      <c r="Q12">
        <v>89</v>
      </c>
      <c r="R12">
        <v>82</v>
      </c>
      <c r="S12">
        <v>1246</v>
      </c>
      <c r="T12">
        <v>103.83333333333333</v>
      </c>
      <c r="U12">
        <v>61</v>
      </c>
      <c r="V12">
        <v>64</v>
      </c>
      <c r="W12">
        <v>77</v>
      </c>
      <c r="X12">
        <v>93</v>
      </c>
      <c r="Y12">
        <v>115</v>
      </c>
      <c r="Z12">
        <v>132</v>
      </c>
      <c r="AA12">
        <v>149</v>
      </c>
      <c r="AB12">
        <v>152</v>
      </c>
      <c r="AC12">
        <v>134</v>
      </c>
      <c r="AD12">
        <v>118</v>
      </c>
      <c r="AE12">
        <v>93</v>
      </c>
      <c r="AF12">
        <v>82</v>
      </c>
      <c r="AG12">
        <v>56</v>
      </c>
      <c r="AH12">
        <v>59</v>
      </c>
      <c r="AI12">
        <v>81</v>
      </c>
      <c r="AJ12">
        <v>95</v>
      </c>
      <c r="AK12">
        <v>121</v>
      </c>
      <c r="AL12">
        <v>142</v>
      </c>
      <c r="AM12">
        <v>161</v>
      </c>
      <c r="AN12">
        <v>167</v>
      </c>
      <c r="AO12">
        <v>100</v>
      </c>
      <c r="AP12">
        <v>1409</v>
      </c>
      <c r="AQ12">
        <v>117.41666666666667</v>
      </c>
      <c r="AR12">
        <v>0.04</v>
      </c>
      <c r="AS12">
        <v>0.27</v>
      </c>
      <c r="AT12">
        <v>0</v>
      </c>
      <c r="AU12">
        <v>0</v>
      </c>
      <c r="AV12">
        <v>0</v>
      </c>
      <c r="AW12">
        <v>0</v>
      </c>
      <c r="AX12">
        <v>8</v>
      </c>
      <c r="AY12">
        <v>0</v>
      </c>
      <c r="AZ12">
        <f>AX12-AY12</f>
        <v>8</v>
      </c>
      <c r="BA12">
        <v>0</v>
      </c>
      <c r="BC12">
        <v>0</v>
      </c>
    </row>
    <row r="13" spans="1:55" x14ac:dyDescent="0.25">
      <c r="A13">
        <v>11</v>
      </c>
      <c r="B13" t="s">
        <v>91</v>
      </c>
      <c r="C13" t="s">
        <v>92</v>
      </c>
      <c r="D13" t="s">
        <v>93</v>
      </c>
      <c r="E13" t="s">
        <v>59</v>
      </c>
      <c r="F13">
        <v>493.52</v>
      </c>
      <c r="G13">
        <v>80</v>
      </c>
      <c r="H13">
        <v>84</v>
      </c>
      <c r="I13">
        <v>113</v>
      </c>
      <c r="J13">
        <v>134</v>
      </c>
      <c r="K13">
        <v>160</v>
      </c>
      <c r="L13">
        <v>193</v>
      </c>
      <c r="M13">
        <v>230</v>
      </c>
      <c r="N13">
        <v>240</v>
      </c>
      <c r="O13">
        <v>188</v>
      </c>
      <c r="P13">
        <v>168</v>
      </c>
      <c r="Q13">
        <v>131</v>
      </c>
      <c r="R13">
        <v>125</v>
      </c>
      <c r="S13">
        <v>1846</v>
      </c>
      <c r="T13">
        <v>153.83333333333334</v>
      </c>
      <c r="U13">
        <v>67</v>
      </c>
      <c r="V13">
        <v>93</v>
      </c>
      <c r="W13">
        <v>113</v>
      </c>
      <c r="X13">
        <v>142</v>
      </c>
      <c r="Y13">
        <v>148</v>
      </c>
      <c r="Z13">
        <v>194</v>
      </c>
      <c r="AA13">
        <v>234</v>
      </c>
      <c r="AB13">
        <v>230</v>
      </c>
      <c r="AC13">
        <v>198</v>
      </c>
      <c r="AD13">
        <v>164</v>
      </c>
      <c r="AE13">
        <v>153</v>
      </c>
      <c r="AF13">
        <v>122</v>
      </c>
      <c r="AG13">
        <v>70</v>
      </c>
      <c r="AH13">
        <v>99</v>
      </c>
      <c r="AI13">
        <v>129</v>
      </c>
      <c r="AJ13">
        <v>163</v>
      </c>
      <c r="AK13">
        <v>172</v>
      </c>
      <c r="AL13">
        <v>197</v>
      </c>
      <c r="AM13">
        <v>228</v>
      </c>
      <c r="AN13">
        <v>240</v>
      </c>
      <c r="AO13">
        <v>147</v>
      </c>
      <c r="AP13">
        <v>2082</v>
      </c>
      <c r="AQ13">
        <v>173.5</v>
      </c>
      <c r="AR13">
        <v>0.04</v>
      </c>
      <c r="AS13">
        <v>0.27</v>
      </c>
      <c r="AT13">
        <v>0</v>
      </c>
      <c r="AU13">
        <v>0</v>
      </c>
      <c r="AV13">
        <v>0</v>
      </c>
      <c r="AW13">
        <v>0</v>
      </c>
      <c r="AX13">
        <v>65</v>
      </c>
      <c r="AY13">
        <v>0</v>
      </c>
      <c r="AZ13">
        <f>AX13-AY13</f>
        <v>65</v>
      </c>
      <c r="BA13">
        <v>0</v>
      </c>
      <c r="BC13">
        <v>0</v>
      </c>
    </row>
    <row r="14" spans="1:55" x14ac:dyDescent="0.25">
      <c r="A14">
        <v>12</v>
      </c>
      <c r="B14" t="s">
        <v>94</v>
      </c>
      <c r="C14" t="s">
        <v>95</v>
      </c>
      <c r="D14" t="s">
        <v>96</v>
      </c>
      <c r="E14" t="s">
        <v>63</v>
      </c>
      <c r="F14">
        <v>1578.21</v>
      </c>
      <c r="G14">
        <v>0</v>
      </c>
      <c r="H14">
        <v>0</v>
      </c>
      <c r="I14">
        <v>0</v>
      </c>
      <c r="J14">
        <v>0</v>
      </c>
      <c r="K14">
        <v>0</v>
      </c>
      <c r="L14">
        <v>94</v>
      </c>
      <c r="M14">
        <v>0</v>
      </c>
      <c r="N14">
        <v>0</v>
      </c>
      <c r="O14">
        <v>97</v>
      </c>
      <c r="P14">
        <v>84</v>
      </c>
      <c r="Q14">
        <v>0</v>
      </c>
      <c r="R14">
        <v>0</v>
      </c>
      <c r="S14">
        <v>275</v>
      </c>
      <c r="T14">
        <v>22.916666666666668</v>
      </c>
      <c r="U14">
        <v>0</v>
      </c>
      <c r="V14">
        <v>0</v>
      </c>
      <c r="W14">
        <v>59</v>
      </c>
      <c r="X14">
        <v>0</v>
      </c>
      <c r="Y14">
        <v>0</v>
      </c>
      <c r="Z14">
        <v>104</v>
      </c>
      <c r="AA14">
        <v>0</v>
      </c>
      <c r="AB14">
        <v>128</v>
      </c>
      <c r="AC14">
        <v>0</v>
      </c>
      <c r="AD14">
        <v>0</v>
      </c>
      <c r="AE14">
        <v>78</v>
      </c>
      <c r="AF14">
        <v>0</v>
      </c>
      <c r="AG14">
        <v>0</v>
      </c>
      <c r="AH14">
        <v>52</v>
      </c>
      <c r="AI14">
        <v>0</v>
      </c>
      <c r="AJ14">
        <v>0</v>
      </c>
      <c r="AK14">
        <v>0</v>
      </c>
      <c r="AL14">
        <v>104</v>
      </c>
      <c r="AM14">
        <v>0</v>
      </c>
      <c r="AN14">
        <v>122</v>
      </c>
      <c r="AO14">
        <v>0</v>
      </c>
      <c r="AP14">
        <v>356</v>
      </c>
      <c r="AQ14">
        <v>29.666666666666668</v>
      </c>
      <c r="AR14">
        <v>0.04</v>
      </c>
      <c r="AS14">
        <v>0.27</v>
      </c>
      <c r="AT14">
        <v>0</v>
      </c>
      <c r="AU14">
        <v>0</v>
      </c>
      <c r="AV14">
        <v>0</v>
      </c>
      <c r="AW14">
        <v>0</v>
      </c>
      <c r="AX14">
        <v>69</v>
      </c>
      <c r="AY14">
        <v>0</v>
      </c>
      <c r="AZ14">
        <f>AX14-AY14</f>
        <v>69</v>
      </c>
      <c r="BA14">
        <v>0</v>
      </c>
      <c r="BC14">
        <v>0</v>
      </c>
    </row>
    <row r="15" spans="1:55" x14ac:dyDescent="0.25">
      <c r="A15">
        <v>13</v>
      </c>
      <c r="B15" t="s">
        <v>97</v>
      </c>
      <c r="C15" t="s">
        <v>98</v>
      </c>
      <c r="D15" t="s">
        <v>99</v>
      </c>
      <c r="E15" t="s">
        <v>67</v>
      </c>
      <c r="F15">
        <v>1930.61</v>
      </c>
      <c r="G15">
        <v>90</v>
      </c>
      <c r="H15">
        <v>97</v>
      </c>
      <c r="I15">
        <v>121</v>
      </c>
      <c r="J15">
        <v>152</v>
      </c>
      <c r="K15">
        <v>172</v>
      </c>
      <c r="L15">
        <v>203</v>
      </c>
      <c r="M15">
        <v>220</v>
      </c>
      <c r="N15">
        <v>263</v>
      </c>
      <c r="O15">
        <v>208</v>
      </c>
      <c r="P15">
        <v>170</v>
      </c>
      <c r="Q15">
        <v>161</v>
      </c>
      <c r="R15">
        <v>132</v>
      </c>
      <c r="S15">
        <v>1989</v>
      </c>
      <c r="T15">
        <v>165.75</v>
      </c>
      <c r="U15">
        <v>89</v>
      </c>
      <c r="V15">
        <v>103</v>
      </c>
      <c r="W15">
        <v>136</v>
      </c>
      <c r="X15">
        <v>169</v>
      </c>
      <c r="Y15">
        <v>188</v>
      </c>
      <c r="Z15">
        <v>227</v>
      </c>
      <c r="AA15">
        <v>229</v>
      </c>
      <c r="AB15">
        <v>252</v>
      </c>
      <c r="AC15">
        <v>223</v>
      </c>
      <c r="AD15">
        <v>192</v>
      </c>
      <c r="AE15">
        <v>164</v>
      </c>
      <c r="AF15">
        <v>127</v>
      </c>
      <c r="AG15">
        <v>98</v>
      </c>
      <c r="AH15">
        <v>99</v>
      </c>
      <c r="AI15">
        <v>128</v>
      </c>
      <c r="AJ15">
        <v>175</v>
      </c>
      <c r="AK15">
        <v>189</v>
      </c>
      <c r="AL15">
        <v>206</v>
      </c>
      <c r="AM15">
        <v>251</v>
      </c>
      <c r="AN15">
        <v>282</v>
      </c>
      <c r="AO15">
        <v>166</v>
      </c>
      <c r="AP15">
        <v>2300</v>
      </c>
      <c r="AQ15">
        <v>191.66666666666666</v>
      </c>
      <c r="AR15">
        <v>0.04</v>
      </c>
      <c r="AS15">
        <v>0.27</v>
      </c>
      <c r="AT15">
        <v>0</v>
      </c>
      <c r="AU15">
        <v>0</v>
      </c>
      <c r="AV15">
        <v>0</v>
      </c>
      <c r="AW15">
        <v>0</v>
      </c>
      <c r="AX15">
        <v>73</v>
      </c>
      <c r="AY15">
        <v>0</v>
      </c>
      <c r="AZ15">
        <f>AX15-AY15</f>
        <v>73</v>
      </c>
      <c r="BA15">
        <v>0</v>
      </c>
      <c r="BC15">
        <v>0</v>
      </c>
    </row>
    <row r="16" spans="1:55" x14ac:dyDescent="0.25">
      <c r="A16">
        <v>14</v>
      </c>
      <c r="B16" t="s">
        <v>100</v>
      </c>
      <c r="C16" t="s">
        <v>101</v>
      </c>
      <c r="D16" t="s">
        <v>102</v>
      </c>
      <c r="E16" t="s">
        <v>71</v>
      </c>
      <c r="F16">
        <v>2158.56</v>
      </c>
      <c r="G16">
        <v>76</v>
      </c>
      <c r="H16">
        <v>81</v>
      </c>
      <c r="I16">
        <v>107</v>
      </c>
      <c r="J16">
        <v>125</v>
      </c>
      <c r="K16">
        <v>155</v>
      </c>
      <c r="L16">
        <v>167</v>
      </c>
      <c r="M16">
        <v>201</v>
      </c>
      <c r="N16">
        <v>199</v>
      </c>
      <c r="O16">
        <v>172</v>
      </c>
      <c r="P16">
        <v>153</v>
      </c>
      <c r="Q16">
        <v>132</v>
      </c>
      <c r="R16">
        <v>110</v>
      </c>
      <c r="S16">
        <v>1678</v>
      </c>
      <c r="T16">
        <v>139.83333333333334</v>
      </c>
      <c r="U16">
        <v>78</v>
      </c>
      <c r="V16">
        <v>86</v>
      </c>
      <c r="W16">
        <v>107</v>
      </c>
      <c r="X16">
        <v>126</v>
      </c>
      <c r="Y16">
        <v>154</v>
      </c>
      <c r="Z16">
        <v>181</v>
      </c>
      <c r="AA16">
        <v>213</v>
      </c>
      <c r="AB16">
        <v>203</v>
      </c>
      <c r="AC16">
        <v>184</v>
      </c>
      <c r="AD16">
        <v>142</v>
      </c>
      <c r="AE16">
        <v>134</v>
      </c>
      <c r="AF16">
        <v>111</v>
      </c>
      <c r="AG16">
        <v>81</v>
      </c>
      <c r="AH16">
        <v>81</v>
      </c>
      <c r="AI16">
        <v>107</v>
      </c>
      <c r="AJ16">
        <v>142</v>
      </c>
      <c r="AK16">
        <v>164</v>
      </c>
      <c r="AL16">
        <v>191</v>
      </c>
      <c r="AM16">
        <v>193</v>
      </c>
      <c r="AN16">
        <v>218</v>
      </c>
      <c r="AO16">
        <v>137</v>
      </c>
      <c r="AP16">
        <v>1885</v>
      </c>
      <c r="AQ16">
        <v>157.08333333333334</v>
      </c>
      <c r="AR16">
        <v>0.04</v>
      </c>
      <c r="AS16">
        <v>0.27</v>
      </c>
      <c r="AT16">
        <v>0</v>
      </c>
      <c r="AU16">
        <v>0</v>
      </c>
      <c r="AV16">
        <v>0</v>
      </c>
      <c r="AW16">
        <v>0</v>
      </c>
      <c r="AX16">
        <v>77</v>
      </c>
      <c r="AY16">
        <v>0</v>
      </c>
      <c r="AZ16">
        <f>AX16-AY16</f>
        <v>77</v>
      </c>
      <c r="BA16">
        <v>0</v>
      </c>
      <c r="BC16">
        <v>0</v>
      </c>
    </row>
    <row r="17" spans="1:55" x14ac:dyDescent="0.25">
      <c r="A17">
        <v>15</v>
      </c>
      <c r="B17" t="s">
        <v>103</v>
      </c>
      <c r="C17" t="s">
        <v>104</v>
      </c>
      <c r="D17" t="s">
        <v>105</v>
      </c>
      <c r="E17" t="s">
        <v>75</v>
      </c>
      <c r="F17">
        <v>1391.68</v>
      </c>
      <c r="G17">
        <v>69</v>
      </c>
      <c r="H17">
        <v>0</v>
      </c>
      <c r="I17">
        <v>99</v>
      </c>
      <c r="J17">
        <v>0</v>
      </c>
      <c r="K17">
        <v>139</v>
      </c>
      <c r="L17">
        <v>151</v>
      </c>
      <c r="M17">
        <v>0</v>
      </c>
      <c r="N17">
        <v>0</v>
      </c>
      <c r="O17">
        <v>0</v>
      </c>
      <c r="P17">
        <v>135</v>
      </c>
      <c r="Q17">
        <v>0</v>
      </c>
      <c r="R17">
        <v>108</v>
      </c>
      <c r="S17">
        <v>701</v>
      </c>
      <c r="T17">
        <v>58.416666666666664</v>
      </c>
      <c r="U17">
        <v>0</v>
      </c>
      <c r="V17">
        <v>0</v>
      </c>
      <c r="W17">
        <v>0</v>
      </c>
      <c r="X17">
        <v>0</v>
      </c>
      <c r="Y17">
        <v>0</v>
      </c>
      <c r="Z17">
        <v>170</v>
      </c>
      <c r="AA17">
        <v>0</v>
      </c>
      <c r="AB17">
        <v>199</v>
      </c>
      <c r="AC17">
        <v>173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125</v>
      </c>
      <c r="AK17">
        <v>0</v>
      </c>
      <c r="AL17">
        <v>177</v>
      </c>
      <c r="AM17">
        <v>0</v>
      </c>
      <c r="AN17">
        <v>207</v>
      </c>
      <c r="AO17">
        <v>0</v>
      </c>
      <c r="AP17">
        <v>682</v>
      </c>
      <c r="AQ17">
        <v>56.833333333333336</v>
      </c>
      <c r="AR17">
        <v>0.04</v>
      </c>
      <c r="AS17">
        <v>0.27</v>
      </c>
      <c r="AT17">
        <v>0</v>
      </c>
      <c r="AU17">
        <v>0</v>
      </c>
      <c r="AV17">
        <v>0</v>
      </c>
      <c r="AW17">
        <v>0</v>
      </c>
      <c r="AX17">
        <v>81</v>
      </c>
      <c r="AY17">
        <v>0</v>
      </c>
      <c r="AZ17">
        <f>AX17-AY17</f>
        <v>81</v>
      </c>
      <c r="BA17">
        <v>0</v>
      </c>
      <c r="BC17">
        <v>0</v>
      </c>
    </row>
    <row r="18" spans="1:55" x14ac:dyDescent="0.25">
      <c r="A18">
        <v>16</v>
      </c>
      <c r="B18" t="s">
        <v>106</v>
      </c>
      <c r="C18" t="s">
        <v>107</v>
      </c>
      <c r="D18" t="s">
        <v>108</v>
      </c>
      <c r="E18" t="s">
        <v>59</v>
      </c>
      <c r="F18">
        <v>991.12</v>
      </c>
      <c r="G18">
        <v>123</v>
      </c>
      <c r="H18">
        <v>125</v>
      </c>
      <c r="I18">
        <v>171</v>
      </c>
      <c r="J18">
        <v>210</v>
      </c>
      <c r="K18">
        <v>232</v>
      </c>
      <c r="L18">
        <v>292</v>
      </c>
      <c r="M18">
        <v>328</v>
      </c>
      <c r="N18">
        <v>329</v>
      </c>
      <c r="O18">
        <v>289</v>
      </c>
      <c r="P18">
        <v>237</v>
      </c>
      <c r="Q18">
        <v>196</v>
      </c>
      <c r="R18">
        <v>187</v>
      </c>
      <c r="S18">
        <v>2719</v>
      </c>
      <c r="T18">
        <v>226.58333333333334</v>
      </c>
      <c r="U18">
        <v>132</v>
      </c>
      <c r="V18">
        <v>128</v>
      </c>
      <c r="W18">
        <v>170</v>
      </c>
      <c r="X18">
        <v>208</v>
      </c>
      <c r="Y18">
        <v>249</v>
      </c>
      <c r="Z18">
        <v>278</v>
      </c>
      <c r="AA18">
        <v>314</v>
      </c>
      <c r="AB18">
        <v>364</v>
      </c>
      <c r="AC18">
        <v>311</v>
      </c>
      <c r="AD18">
        <v>253</v>
      </c>
      <c r="AE18">
        <v>207</v>
      </c>
      <c r="AF18">
        <v>189</v>
      </c>
      <c r="AG18">
        <v>122</v>
      </c>
      <c r="AH18">
        <v>144</v>
      </c>
      <c r="AI18">
        <v>193</v>
      </c>
      <c r="AJ18">
        <v>211</v>
      </c>
      <c r="AK18">
        <v>251</v>
      </c>
      <c r="AL18">
        <v>286</v>
      </c>
      <c r="AM18">
        <v>346</v>
      </c>
      <c r="AN18">
        <v>345</v>
      </c>
      <c r="AO18">
        <v>224</v>
      </c>
      <c r="AP18">
        <v>3082</v>
      </c>
      <c r="AQ18">
        <v>256.8333333333333</v>
      </c>
      <c r="AR18">
        <v>0.04</v>
      </c>
      <c r="AS18">
        <v>0.27</v>
      </c>
      <c r="AT18">
        <v>0</v>
      </c>
      <c r="AU18">
        <v>0</v>
      </c>
      <c r="AV18">
        <v>0</v>
      </c>
      <c r="AW18">
        <v>0</v>
      </c>
      <c r="AX18">
        <v>85</v>
      </c>
      <c r="AY18">
        <v>0</v>
      </c>
      <c r="AZ18">
        <f>AX18-AY18</f>
        <v>85</v>
      </c>
      <c r="BA18">
        <v>0</v>
      </c>
      <c r="BC18">
        <v>0</v>
      </c>
    </row>
    <row r="19" spans="1:55" x14ac:dyDescent="0.25">
      <c r="A19">
        <v>17</v>
      </c>
      <c r="B19" t="s">
        <v>109</v>
      </c>
      <c r="C19" t="s">
        <v>110</v>
      </c>
      <c r="D19" t="s">
        <v>111</v>
      </c>
      <c r="E19" t="s">
        <v>63</v>
      </c>
      <c r="F19">
        <v>308.85</v>
      </c>
      <c r="G19">
        <v>81</v>
      </c>
      <c r="H19">
        <v>79</v>
      </c>
      <c r="I19">
        <v>116</v>
      </c>
      <c r="J19">
        <v>127</v>
      </c>
      <c r="K19">
        <v>163</v>
      </c>
      <c r="L19">
        <v>180</v>
      </c>
      <c r="M19">
        <v>216</v>
      </c>
      <c r="N19">
        <v>219</v>
      </c>
      <c r="O19">
        <v>180</v>
      </c>
      <c r="P19">
        <v>160</v>
      </c>
      <c r="Q19">
        <v>138</v>
      </c>
      <c r="R19">
        <v>113</v>
      </c>
      <c r="S19">
        <v>1772</v>
      </c>
      <c r="T19">
        <v>147.66666666666666</v>
      </c>
      <c r="U19">
        <v>80</v>
      </c>
      <c r="V19">
        <v>89</v>
      </c>
      <c r="W19">
        <v>121</v>
      </c>
      <c r="X19">
        <v>150</v>
      </c>
      <c r="Y19">
        <v>152</v>
      </c>
      <c r="Z19">
        <v>175</v>
      </c>
      <c r="AA19">
        <v>202</v>
      </c>
      <c r="AB19">
        <v>227</v>
      </c>
      <c r="AC19">
        <v>183</v>
      </c>
      <c r="AD19">
        <v>168</v>
      </c>
      <c r="AE19">
        <v>140</v>
      </c>
      <c r="AF19">
        <v>121</v>
      </c>
      <c r="AG19">
        <v>85</v>
      </c>
      <c r="AH19">
        <v>95</v>
      </c>
      <c r="AI19">
        <v>111</v>
      </c>
      <c r="AJ19">
        <v>151</v>
      </c>
      <c r="AK19">
        <v>177</v>
      </c>
      <c r="AL19">
        <v>199</v>
      </c>
      <c r="AM19">
        <v>228</v>
      </c>
      <c r="AN19">
        <v>245</v>
      </c>
      <c r="AO19">
        <v>147</v>
      </c>
      <c r="AP19">
        <v>2050</v>
      </c>
      <c r="AQ19">
        <v>170.83333333333334</v>
      </c>
      <c r="AR19">
        <v>0.04</v>
      </c>
      <c r="AS19">
        <v>0.27</v>
      </c>
      <c r="AT19">
        <v>0</v>
      </c>
      <c r="AU19">
        <v>0</v>
      </c>
      <c r="AV19">
        <v>0</v>
      </c>
      <c r="AW19">
        <v>0</v>
      </c>
      <c r="AX19">
        <v>89</v>
      </c>
      <c r="AY19">
        <v>0</v>
      </c>
      <c r="AZ19">
        <f>AX19-AY19</f>
        <v>89</v>
      </c>
      <c r="BA19">
        <v>0</v>
      </c>
      <c r="BC19">
        <v>0</v>
      </c>
    </row>
    <row r="20" spans="1:55" x14ac:dyDescent="0.25">
      <c r="A20">
        <v>18</v>
      </c>
      <c r="B20" t="s">
        <v>112</v>
      </c>
      <c r="C20" t="s">
        <v>113</v>
      </c>
      <c r="D20" t="s">
        <v>114</v>
      </c>
      <c r="E20" t="s">
        <v>67</v>
      </c>
      <c r="F20">
        <v>560.03</v>
      </c>
      <c r="G20">
        <v>64</v>
      </c>
      <c r="H20">
        <v>0</v>
      </c>
      <c r="I20">
        <v>85</v>
      </c>
      <c r="J20">
        <v>0</v>
      </c>
      <c r="K20">
        <v>0</v>
      </c>
      <c r="L20">
        <v>0</v>
      </c>
      <c r="M20">
        <v>0</v>
      </c>
      <c r="N20">
        <v>162</v>
      </c>
      <c r="O20">
        <v>146</v>
      </c>
      <c r="P20">
        <v>121</v>
      </c>
      <c r="Q20">
        <v>0</v>
      </c>
      <c r="R20">
        <v>0</v>
      </c>
      <c r="S20">
        <v>578</v>
      </c>
      <c r="T20">
        <v>48.166666666666664</v>
      </c>
      <c r="U20">
        <v>0</v>
      </c>
      <c r="V20">
        <v>0</v>
      </c>
      <c r="W20">
        <v>0</v>
      </c>
      <c r="X20">
        <v>0</v>
      </c>
      <c r="Y20">
        <v>128</v>
      </c>
      <c r="Z20">
        <v>146</v>
      </c>
      <c r="AA20">
        <v>0</v>
      </c>
      <c r="AB20">
        <v>187</v>
      </c>
      <c r="AC20">
        <v>141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116</v>
      </c>
      <c r="AK20">
        <v>0</v>
      </c>
      <c r="AL20">
        <v>155</v>
      </c>
      <c r="AM20">
        <v>174</v>
      </c>
      <c r="AN20">
        <v>176</v>
      </c>
      <c r="AO20">
        <v>0</v>
      </c>
      <c r="AP20">
        <v>762</v>
      </c>
      <c r="AQ20">
        <v>63.5</v>
      </c>
      <c r="AR20">
        <v>0.04</v>
      </c>
      <c r="AS20">
        <v>0.27</v>
      </c>
      <c r="AT20">
        <v>0</v>
      </c>
      <c r="AU20">
        <v>0</v>
      </c>
      <c r="AV20">
        <v>0</v>
      </c>
      <c r="AW20">
        <v>0</v>
      </c>
      <c r="AX20">
        <v>93</v>
      </c>
      <c r="AY20">
        <v>0</v>
      </c>
      <c r="AZ20">
        <f>AX20-AY20</f>
        <v>93</v>
      </c>
      <c r="BA20">
        <v>0</v>
      </c>
      <c r="BC20">
        <v>0</v>
      </c>
    </row>
    <row r="21" spans="1:55" x14ac:dyDescent="0.25">
      <c r="A21">
        <v>19</v>
      </c>
      <c r="B21" t="s">
        <v>115</v>
      </c>
      <c r="C21" t="s">
        <v>116</v>
      </c>
      <c r="D21" t="s">
        <v>117</v>
      </c>
      <c r="E21" t="s">
        <v>71</v>
      </c>
      <c r="F21">
        <v>786.67</v>
      </c>
      <c r="G21">
        <v>148</v>
      </c>
      <c r="H21">
        <v>157</v>
      </c>
      <c r="I21">
        <v>197</v>
      </c>
      <c r="J21">
        <v>266</v>
      </c>
      <c r="K21">
        <v>285</v>
      </c>
      <c r="L21">
        <v>346</v>
      </c>
      <c r="M21">
        <v>378</v>
      </c>
      <c r="N21">
        <v>400</v>
      </c>
      <c r="O21">
        <v>356</v>
      </c>
      <c r="P21">
        <v>298</v>
      </c>
      <c r="Q21">
        <v>243</v>
      </c>
      <c r="R21">
        <v>228</v>
      </c>
      <c r="S21">
        <v>3302</v>
      </c>
      <c r="T21">
        <v>275.1666666666667</v>
      </c>
      <c r="U21">
        <v>162</v>
      </c>
      <c r="V21">
        <v>157</v>
      </c>
      <c r="W21">
        <v>210</v>
      </c>
      <c r="X21">
        <v>248</v>
      </c>
      <c r="Y21">
        <v>311</v>
      </c>
      <c r="Z21">
        <v>345</v>
      </c>
      <c r="AA21">
        <v>420</v>
      </c>
      <c r="AB21">
        <v>425</v>
      </c>
      <c r="AC21">
        <v>355</v>
      </c>
      <c r="AD21">
        <v>292</v>
      </c>
      <c r="AE21">
        <v>244</v>
      </c>
      <c r="AF21">
        <v>216</v>
      </c>
      <c r="AG21">
        <v>158</v>
      </c>
      <c r="AH21">
        <v>158</v>
      </c>
      <c r="AI21">
        <v>215</v>
      </c>
      <c r="AJ21">
        <v>256</v>
      </c>
      <c r="AK21">
        <v>307</v>
      </c>
      <c r="AL21">
        <v>368</v>
      </c>
      <c r="AM21">
        <v>397</v>
      </c>
      <c r="AN21">
        <v>456</v>
      </c>
      <c r="AO21">
        <v>259</v>
      </c>
      <c r="AP21">
        <v>3681</v>
      </c>
      <c r="AQ21">
        <v>306.75</v>
      </c>
      <c r="AR21">
        <v>0.04</v>
      </c>
      <c r="AS21">
        <v>0.27</v>
      </c>
      <c r="AT21">
        <v>0</v>
      </c>
      <c r="AU21">
        <v>0</v>
      </c>
      <c r="AV21">
        <v>0</v>
      </c>
      <c r="AW21">
        <v>0</v>
      </c>
      <c r="AX21">
        <v>97</v>
      </c>
      <c r="AY21">
        <v>0</v>
      </c>
      <c r="AZ21">
        <f>AX21-AY21</f>
        <v>97</v>
      </c>
      <c r="BA21">
        <v>0</v>
      </c>
      <c r="BC21">
        <v>0</v>
      </c>
    </row>
    <row r="22" spans="1:55" x14ac:dyDescent="0.25">
      <c r="A22">
        <v>20</v>
      </c>
      <c r="B22" t="s">
        <v>118</v>
      </c>
      <c r="C22" t="s">
        <v>119</v>
      </c>
      <c r="D22" t="s">
        <v>120</v>
      </c>
      <c r="E22" t="s">
        <v>75</v>
      </c>
      <c r="F22">
        <v>595.54</v>
      </c>
      <c r="G22">
        <v>75</v>
      </c>
      <c r="H22">
        <v>81</v>
      </c>
      <c r="I22">
        <v>114</v>
      </c>
      <c r="J22">
        <v>136</v>
      </c>
      <c r="K22">
        <v>146</v>
      </c>
      <c r="L22">
        <v>166</v>
      </c>
      <c r="M22">
        <v>197</v>
      </c>
      <c r="N22">
        <v>212</v>
      </c>
      <c r="O22">
        <v>188</v>
      </c>
      <c r="P22">
        <v>153</v>
      </c>
      <c r="Q22">
        <v>123</v>
      </c>
      <c r="R22">
        <v>108</v>
      </c>
      <c r="S22">
        <v>1699</v>
      </c>
      <c r="T22">
        <v>141.58333333333334</v>
      </c>
      <c r="U22">
        <v>75</v>
      </c>
      <c r="V22">
        <v>88</v>
      </c>
      <c r="W22">
        <v>113</v>
      </c>
      <c r="X22">
        <v>140</v>
      </c>
      <c r="Y22">
        <v>165</v>
      </c>
      <c r="Z22">
        <v>186</v>
      </c>
      <c r="AA22">
        <v>200</v>
      </c>
      <c r="AB22">
        <v>232</v>
      </c>
      <c r="AC22">
        <v>196</v>
      </c>
      <c r="AD22">
        <v>149</v>
      </c>
      <c r="AE22">
        <v>125</v>
      </c>
      <c r="AF22">
        <v>109</v>
      </c>
      <c r="AG22">
        <v>85</v>
      </c>
      <c r="AH22">
        <v>81</v>
      </c>
      <c r="AI22">
        <v>115</v>
      </c>
      <c r="AJ22">
        <v>136</v>
      </c>
      <c r="AK22">
        <v>153</v>
      </c>
      <c r="AL22">
        <v>187</v>
      </c>
      <c r="AM22">
        <v>200</v>
      </c>
      <c r="AN22">
        <v>224</v>
      </c>
      <c r="AO22">
        <v>144</v>
      </c>
      <c r="AP22">
        <v>1904</v>
      </c>
      <c r="AQ22">
        <v>158.66666666666666</v>
      </c>
      <c r="AR22">
        <v>0.04</v>
      </c>
      <c r="AS22">
        <v>0.27</v>
      </c>
      <c r="AT22">
        <v>0</v>
      </c>
      <c r="AU22">
        <v>0</v>
      </c>
      <c r="AV22">
        <v>0</v>
      </c>
      <c r="AW22">
        <v>0</v>
      </c>
      <c r="AX22">
        <v>101</v>
      </c>
      <c r="AY22">
        <v>0</v>
      </c>
      <c r="AZ22">
        <f>AX22-AY22</f>
        <v>101</v>
      </c>
      <c r="BA22">
        <v>0</v>
      </c>
      <c r="BC22">
        <v>0</v>
      </c>
    </row>
    <row r="23" spans="1:55" x14ac:dyDescent="0.25">
      <c r="A23">
        <v>21</v>
      </c>
      <c r="B23" t="s">
        <v>121</v>
      </c>
      <c r="C23" t="s">
        <v>122</v>
      </c>
      <c r="D23" t="s">
        <v>123</v>
      </c>
      <c r="E23" t="s">
        <v>59</v>
      </c>
      <c r="F23">
        <v>686.38</v>
      </c>
      <c r="G23">
        <v>74</v>
      </c>
      <c r="H23">
        <v>0</v>
      </c>
      <c r="I23">
        <v>100</v>
      </c>
      <c r="J23">
        <v>0</v>
      </c>
      <c r="K23">
        <v>0</v>
      </c>
      <c r="L23">
        <v>153</v>
      </c>
      <c r="M23">
        <v>0</v>
      </c>
      <c r="N23">
        <v>185</v>
      </c>
      <c r="O23">
        <v>0</v>
      </c>
      <c r="P23">
        <v>138</v>
      </c>
      <c r="Q23">
        <v>115</v>
      </c>
      <c r="R23">
        <v>104</v>
      </c>
      <c r="S23">
        <v>869</v>
      </c>
      <c r="T23">
        <v>72.41666666666667</v>
      </c>
      <c r="U23">
        <v>72</v>
      </c>
      <c r="V23">
        <v>0</v>
      </c>
      <c r="W23">
        <v>108</v>
      </c>
      <c r="X23">
        <v>0</v>
      </c>
      <c r="Y23">
        <v>0</v>
      </c>
      <c r="Z23">
        <v>0</v>
      </c>
      <c r="AA23">
        <v>194</v>
      </c>
      <c r="AB23">
        <v>190</v>
      </c>
      <c r="AC23">
        <v>185</v>
      </c>
      <c r="AD23">
        <v>150</v>
      </c>
      <c r="AE23">
        <v>0</v>
      </c>
      <c r="AF23">
        <v>105</v>
      </c>
      <c r="AG23">
        <v>0</v>
      </c>
      <c r="AH23">
        <v>84</v>
      </c>
      <c r="AI23">
        <v>0</v>
      </c>
      <c r="AJ23">
        <v>0</v>
      </c>
      <c r="AK23">
        <v>159</v>
      </c>
      <c r="AL23">
        <v>0</v>
      </c>
      <c r="AM23">
        <v>191</v>
      </c>
      <c r="AN23">
        <v>221</v>
      </c>
      <c r="AO23">
        <v>0</v>
      </c>
      <c r="AP23">
        <v>1095</v>
      </c>
      <c r="AQ23">
        <v>91.25</v>
      </c>
      <c r="AR23">
        <v>0.04</v>
      </c>
      <c r="AS23">
        <v>0.27</v>
      </c>
      <c r="AT23">
        <v>0</v>
      </c>
      <c r="AU23">
        <v>0</v>
      </c>
      <c r="AV23">
        <v>0</v>
      </c>
      <c r="AW23">
        <v>0</v>
      </c>
      <c r="AX23">
        <v>105</v>
      </c>
      <c r="AY23">
        <v>0</v>
      </c>
      <c r="AZ23">
        <f>AX23-AY23</f>
        <v>105</v>
      </c>
      <c r="BA23">
        <v>0</v>
      </c>
      <c r="BC23">
        <v>0</v>
      </c>
    </row>
    <row r="24" spans="1:55" x14ac:dyDescent="0.25">
      <c r="A24">
        <v>22</v>
      </c>
      <c r="B24" t="s">
        <v>124</v>
      </c>
      <c r="C24" t="s">
        <v>125</v>
      </c>
      <c r="D24" t="s">
        <v>126</v>
      </c>
      <c r="E24" t="s">
        <v>63</v>
      </c>
      <c r="F24">
        <v>1296.06</v>
      </c>
      <c r="G24">
        <v>72</v>
      </c>
      <c r="H24">
        <v>69</v>
      </c>
      <c r="I24">
        <v>96</v>
      </c>
      <c r="J24">
        <v>122</v>
      </c>
      <c r="K24">
        <v>143</v>
      </c>
      <c r="L24">
        <v>143</v>
      </c>
      <c r="M24">
        <v>177</v>
      </c>
      <c r="N24">
        <v>193</v>
      </c>
      <c r="O24">
        <v>163</v>
      </c>
      <c r="P24">
        <v>136</v>
      </c>
      <c r="Q24">
        <v>107</v>
      </c>
      <c r="R24">
        <v>102</v>
      </c>
      <c r="S24">
        <v>1523</v>
      </c>
      <c r="T24">
        <v>126.91666666666667</v>
      </c>
      <c r="U24">
        <v>68</v>
      </c>
      <c r="V24">
        <v>70</v>
      </c>
      <c r="W24">
        <v>102</v>
      </c>
      <c r="X24">
        <v>123</v>
      </c>
      <c r="Y24">
        <v>132</v>
      </c>
      <c r="Z24">
        <v>166</v>
      </c>
      <c r="AA24">
        <v>190</v>
      </c>
      <c r="AB24">
        <v>194</v>
      </c>
      <c r="AC24">
        <v>168</v>
      </c>
      <c r="AD24">
        <v>137</v>
      </c>
      <c r="AE24">
        <v>121</v>
      </c>
      <c r="AF24">
        <v>104</v>
      </c>
      <c r="AG24">
        <v>70</v>
      </c>
      <c r="AH24">
        <v>82</v>
      </c>
      <c r="AI24">
        <v>108</v>
      </c>
      <c r="AJ24">
        <v>128</v>
      </c>
      <c r="AK24">
        <v>148</v>
      </c>
      <c r="AL24">
        <v>169</v>
      </c>
      <c r="AM24">
        <v>179</v>
      </c>
      <c r="AN24">
        <v>202</v>
      </c>
      <c r="AO24">
        <v>120</v>
      </c>
      <c r="AP24">
        <v>1736</v>
      </c>
      <c r="AQ24">
        <v>144.66666666666666</v>
      </c>
      <c r="AR24">
        <v>0.04</v>
      </c>
      <c r="AS24">
        <v>0.27</v>
      </c>
      <c r="AT24">
        <v>0</v>
      </c>
      <c r="AU24">
        <v>0</v>
      </c>
      <c r="AV24">
        <v>0</v>
      </c>
      <c r="AW24">
        <v>0</v>
      </c>
      <c r="AX24">
        <v>109</v>
      </c>
      <c r="AY24">
        <v>0</v>
      </c>
      <c r="AZ24">
        <f>AX24-AY24</f>
        <v>109</v>
      </c>
      <c r="BA24">
        <v>0</v>
      </c>
      <c r="BC24">
        <v>0</v>
      </c>
    </row>
    <row r="25" spans="1:55" x14ac:dyDescent="0.25">
      <c r="A25">
        <v>23</v>
      </c>
      <c r="B25" t="s">
        <v>127</v>
      </c>
      <c r="C25" t="s">
        <v>128</v>
      </c>
      <c r="D25" t="s">
        <v>129</v>
      </c>
      <c r="E25" t="s">
        <v>67</v>
      </c>
      <c r="F25">
        <v>2250.7</v>
      </c>
      <c r="G25">
        <v>55</v>
      </c>
      <c r="H25">
        <v>61</v>
      </c>
      <c r="I25">
        <v>75</v>
      </c>
      <c r="J25">
        <v>93</v>
      </c>
      <c r="K25">
        <v>115</v>
      </c>
      <c r="L25">
        <v>138</v>
      </c>
      <c r="M25">
        <v>143</v>
      </c>
      <c r="N25">
        <v>160</v>
      </c>
      <c r="O25">
        <v>132</v>
      </c>
      <c r="P25">
        <v>120</v>
      </c>
      <c r="Q25">
        <v>103</v>
      </c>
      <c r="R25">
        <v>83</v>
      </c>
      <c r="S25">
        <v>1278</v>
      </c>
      <c r="T25">
        <v>106.5</v>
      </c>
      <c r="U25">
        <v>60</v>
      </c>
      <c r="V25">
        <v>60</v>
      </c>
      <c r="W25">
        <v>87</v>
      </c>
      <c r="X25">
        <v>103</v>
      </c>
      <c r="Y25">
        <v>116</v>
      </c>
      <c r="Z25">
        <v>134</v>
      </c>
      <c r="AA25">
        <v>164</v>
      </c>
      <c r="AB25">
        <v>172</v>
      </c>
      <c r="AC25">
        <v>147</v>
      </c>
      <c r="AD25">
        <v>110</v>
      </c>
      <c r="AE25">
        <v>100</v>
      </c>
      <c r="AF25">
        <v>90</v>
      </c>
      <c r="AG25">
        <v>60</v>
      </c>
      <c r="AH25">
        <v>64</v>
      </c>
      <c r="AI25">
        <v>92</v>
      </c>
      <c r="AJ25">
        <v>110</v>
      </c>
      <c r="AK25">
        <v>127</v>
      </c>
      <c r="AL25">
        <v>144</v>
      </c>
      <c r="AM25">
        <v>171</v>
      </c>
      <c r="AN25">
        <v>174</v>
      </c>
      <c r="AO25">
        <v>114</v>
      </c>
      <c r="AP25">
        <v>1503</v>
      </c>
      <c r="AQ25">
        <v>125.25</v>
      </c>
      <c r="AR25">
        <v>0.04</v>
      </c>
      <c r="AS25">
        <v>0.27</v>
      </c>
      <c r="AT25">
        <v>0</v>
      </c>
      <c r="AU25">
        <v>0</v>
      </c>
      <c r="AV25">
        <v>0</v>
      </c>
      <c r="AW25">
        <v>0</v>
      </c>
      <c r="AX25">
        <v>113</v>
      </c>
      <c r="AY25">
        <v>0</v>
      </c>
      <c r="AZ25">
        <f>AX25-AY25</f>
        <v>113</v>
      </c>
      <c r="BA25">
        <v>0</v>
      </c>
      <c r="BC25">
        <v>0</v>
      </c>
    </row>
    <row r="26" spans="1:55" x14ac:dyDescent="0.25">
      <c r="A26">
        <v>24</v>
      </c>
      <c r="B26" t="s">
        <v>130</v>
      </c>
      <c r="C26" t="s">
        <v>131</v>
      </c>
      <c r="D26" t="s">
        <v>132</v>
      </c>
      <c r="E26" t="s">
        <v>71</v>
      </c>
      <c r="F26">
        <v>683.95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29</v>
      </c>
      <c r="AI26">
        <v>0</v>
      </c>
      <c r="AJ26">
        <v>50</v>
      </c>
      <c r="AK26">
        <v>55</v>
      </c>
      <c r="AL26">
        <v>66</v>
      </c>
      <c r="AM26">
        <v>0</v>
      </c>
      <c r="AN26">
        <v>0</v>
      </c>
      <c r="AO26">
        <v>0</v>
      </c>
      <c r="AP26">
        <v>200</v>
      </c>
      <c r="AQ26">
        <v>16.666666666666668</v>
      </c>
      <c r="AR26">
        <v>0.04</v>
      </c>
      <c r="AS26">
        <v>0.27</v>
      </c>
      <c r="AT26">
        <v>0</v>
      </c>
      <c r="AU26">
        <v>0</v>
      </c>
      <c r="AV26">
        <v>0</v>
      </c>
      <c r="AW26">
        <v>0</v>
      </c>
      <c r="AX26">
        <v>117</v>
      </c>
      <c r="AY26">
        <v>0</v>
      </c>
      <c r="AZ26">
        <f>AX26-AY26</f>
        <v>117</v>
      </c>
      <c r="BA26">
        <v>0</v>
      </c>
      <c r="BC2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3" spans="1:14" x14ac:dyDescent="0.25">
      <c r="A3" t="s">
        <v>133</v>
      </c>
      <c r="B3" t="s">
        <v>134</v>
      </c>
      <c r="C3" t="s">
        <v>135</v>
      </c>
      <c r="D3" t="s">
        <v>136</v>
      </c>
      <c r="E3" t="s">
        <v>137</v>
      </c>
      <c r="F3" t="s">
        <v>138</v>
      </c>
      <c r="G3" t="s">
        <v>139</v>
      </c>
      <c r="H3" t="s">
        <v>140</v>
      </c>
      <c r="I3" t="s">
        <v>141</v>
      </c>
      <c r="J3" t="s">
        <v>142</v>
      </c>
      <c r="K3" t="s">
        <v>143</v>
      </c>
      <c r="L3" t="s">
        <v>144</v>
      </c>
      <c r="M3" t="s">
        <v>145</v>
      </c>
      <c r="N3" t="s">
        <v>146</v>
      </c>
    </row>
    <row r="4" spans="1:14" x14ac:dyDescent="0.25">
      <c r="A4">
        <v>2024</v>
      </c>
      <c r="B4">
        <v>2449898.7199999997</v>
      </c>
      <c r="C4">
        <v>2387632.3000000003</v>
      </c>
      <c r="D4">
        <v>3435639.349999999</v>
      </c>
      <c r="E4">
        <v>3887219.7700000014</v>
      </c>
      <c r="F4">
        <v>4744840.77</v>
      </c>
      <c r="G4">
        <v>5772312.019999999</v>
      </c>
      <c r="H4">
        <v>6047608.169999999</v>
      </c>
      <c r="I4">
        <v>6749925.91</v>
      </c>
      <c r="J4">
        <v>5746751.389999999</v>
      </c>
      <c r="K4">
        <v>5106069.46</v>
      </c>
      <c r="L4">
        <v>4048505.82</v>
      </c>
      <c r="M4">
        <v>3569649.04</v>
      </c>
      <c r="N4">
        <v>53946052.72</v>
      </c>
    </row>
    <row r="5" spans="1:14" x14ac:dyDescent="0.25">
      <c r="A5">
        <v>2025</v>
      </c>
      <c r="B5">
        <v>2381635.5100000002</v>
      </c>
      <c r="C5">
        <v>2498981.0300000003</v>
      </c>
      <c r="D5">
        <v>3498584.4200000004</v>
      </c>
      <c r="E5">
        <v>4119277.83</v>
      </c>
      <c r="F5">
        <v>4803811.74</v>
      </c>
      <c r="G5">
        <v>5953289.19</v>
      </c>
      <c r="H5">
        <v>6379394.830000001</v>
      </c>
      <c r="I5">
        <v>7448663.290000001</v>
      </c>
      <c r="J5">
        <v>6272028.63</v>
      </c>
      <c r="K5">
        <v>4837754.329999999</v>
      </c>
      <c r="L5">
        <v>4236358.119999999</v>
      </c>
      <c r="M5">
        <v>3505427.4000000004</v>
      </c>
      <c r="N5">
        <v>55935206.32</v>
      </c>
    </row>
    <row r="6" spans="1:14" x14ac:dyDescent="0.25">
      <c r="A6">
        <v>2026</v>
      </c>
      <c r="B6">
        <v>2503574.88</v>
      </c>
      <c r="C6">
        <v>6192675.59</v>
      </c>
      <c r="D6">
        <v>37355854.84999999</v>
      </c>
      <c r="E6">
        <v>4569583.27</v>
      </c>
      <c r="F6">
        <v>5105426.970000001</v>
      </c>
      <c r="G6">
        <v>6431697.470000001</v>
      </c>
      <c r="H6">
        <v>6945540.660000001</v>
      </c>
      <c r="I6">
        <v>7980220.92</v>
      </c>
      <c r="J6">
        <v>4507820.019999999</v>
      </c>
      <c r="N6">
        <v>81592394.62999998</v>
      </c>
    </row>
    <row r="8" spans="2:2" x14ac:dyDescent="0.25">
      <c r="B8" t="s">
        <v>147</v>
      </c>
    </row>
    <row r="10" spans="1:12" x14ac:dyDescent="0.25">
      <c r="B10" t="s">
        <v>148</v>
      </c>
      <c r="C10" t="s">
        <v>19</v>
      </c>
      <c r="D10" t="s">
        <v>149</v>
      </c>
      <c r="E10" t="s">
        <v>150</v>
      </c>
      <c r="F10" t="s">
        <v>151</v>
      </c>
      <c r="G10" t="s">
        <v>152</v>
      </c>
      <c r="H10" t="s">
        <v>153</v>
      </c>
      <c r="I10" t="s">
        <v>154</v>
      </c>
      <c r="J10" t="s">
        <v>155</v>
      </c>
      <c r="K10" t="s">
        <v>156</v>
      </c>
      <c r="L10" t="s">
        <v>157</v>
      </c>
    </row>
    <row r="11" spans="1:12" x14ac:dyDescent="0.25">
      <c r="B11" t="s">
        <v>134</v>
      </c>
      <c r="D11">
        <v>0.55</v>
      </c>
      <c r="G11">
        <v>0.55</v>
      </c>
      <c r="J11">
        <v>0.55</v>
      </c>
      <c r="L11">
        <v>0.55</v>
      </c>
    </row>
    <row r="12" spans="1:12" x14ac:dyDescent="0.25">
      <c r="B12" t="s">
        <v>158</v>
      </c>
      <c r="D12">
        <v>0.58</v>
      </c>
      <c r="G12">
        <v>0.58</v>
      </c>
      <c r="J12">
        <v>0.58</v>
      </c>
      <c r="L12">
        <v>0.58</v>
      </c>
    </row>
    <row r="13" spans="1:12" x14ac:dyDescent="0.25">
      <c r="B13" t="s">
        <v>159</v>
      </c>
      <c r="D13">
        <v>0.76</v>
      </c>
      <c r="G13">
        <v>0.76</v>
      </c>
      <c r="J13">
        <v>0.76</v>
      </c>
      <c r="L13">
        <v>0.76</v>
      </c>
    </row>
    <row r="14" spans="1:12" x14ac:dyDescent="0.25">
      <c r="B14" t="s">
        <v>137</v>
      </c>
      <c r="D14">
        <v>0.94</v>
      </c>
      <c r="G14">
        <v>0.94</v>
      </c>
      <c r="J14">
        <v>0.94</v>
      </c>
      <c r="L14">
        <v>0.94</v>
      </c>
    </row>
    <row r="15" spans="1:12" x14ac:dyDescent="0.25">
      <c r="B15" t="s">
        <v>138</v>
      </c>
      <c r="D15">
        <v>1.08</v>
      </c>
      <c r="G15">
        <v>1.08</v>
      </c>
      <c r="J15">
        <v>1.08</v>
      </c>
      <c r="L15">
        <v>1.08</v>
      </c>
    </row>
    <row r="16" spans="1:12" x14ac:dyDescent="0.25">
      <c r="B16" t="s">
        <v>160</v>
      </c>
      <c r="D16">
        <v>1.22</v>
      </c>
      <c r="G16">
        <v>1.22</v>
      </c>
      <c r="J16">
        <v>1.22</v>
      </c>
      <c r="L16">
        <v>1.22</v>
      </c>
    </row>
    <row r="17" spans="1:12" x14ac:dyDescent="0.25">
      <c r="B17" t="s">
        <v>161</v>
      </c>
      <c r="D17">
        <v>1.4</v>
      </c>
      <c r="G17">
        <v>1.4</v>
      </c>
      <c r="J17">
        <v>1.4</v>
      </c>
      <c r="L17">
        <v>1.4</v>
      </c>
    </row>
    <row r="18" spans="1:12" x14ac:dyDescent="0.25">
      <c r="B18" t="s">
        <v>141</v>
      </c>
      <c r="D18">
        <v>1.48</v>
      </c>
      <c r="G18">
        <v>1.48</v>
      </c>
      <c r="J18">
        <v>1.48</v>
      </c>
      <c r="L18">
        <v>1.48</v>
      </c>
    </row>
    <row r="19" spans="1:12" x14ac:dyDescent="0.25">
      <c r="B19" t="s">
        <v>162</v>
      </c>
      <c r="D19">
        <v>1.27</v>
      </c>
      <c r="G19">
        <v>1.27</v>
      </c>
      <c r="J19">
        <v>1.27</v>
      </c>
      <c r="L19">
        <v>1.27</v>
      </c>
    </row>
    <row r="20" spans="1:12" x14ac:dyDescent="0.25">
      <c r="B20" t="s">
        <v>143</v>
      </c>
      <c r="D20">
        <v>1.05</v>
      </c>
      <c r="G20">
        <v>1.05</v>
      </c>
      <c r="J20">
        <v>1.05</v>
      </c>
      <c r="L20">
        <v>1.05</v>
      </c>
    </row>
    <row r="21" spans="1:12" x14ac:dyDescent="0.25">
      <c r="B21" t="s">
        <v>163</v>
      </c>
      <c r="D21">
        <v>0.9</v>
      </c>
      <c r="G21">
        <v>0.9</v>
      </c>
      <c r="J21">
        <v>0.9</v>
      </c>
      <c r="L21">
        <v>0.9</v>
      </c>
    </row>
    <row r="22" spans="1:12" x14ac:dyDescent="0.25">
      <c r="B22" t="s">
        <v>145</v>
      </c>
      <c r="D22">
        <v>0.77</v>
      </c>
      <c r="G22">
        <v>0.77</v>
      </c>
      <c r="J22">
        <v>0.77</v>
      </c>
      <c r="L22">
        <v>0.77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TDSheet</vt:lpstr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Apollon synthetic data generator</dc:creator>
  <dc:title>SYNTHETIC / СИНТЕТИЧЕСКИЕ ДАННЫЕ — не партнёрские данные</dc:title>
  <dc:subject/>
  <dc:description/>
  <cp:keywords/>
  <cp:category/>
  <cp:lastModifiedBy>Unknown</cp:lastModifiedBy>
  <dcterms:created xsi:type="dcterms:W3CDTF">2026-09-22T00:00:00Z</dcterms:created>
  <dcterms:modified xsi:type="dcterms:W3CDTF">2026-09-22T00:00:00Z</dcterms:modified>
</cp:coreProperties>
</file>